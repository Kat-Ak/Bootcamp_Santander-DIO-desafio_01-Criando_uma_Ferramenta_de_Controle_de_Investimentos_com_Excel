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xr:revisionPtr revIDLastSave="0" documentId="8_{A7FDA95A-9633-463C-B9CB-6A24F5EC07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2" r:id="rId1"/>
    <sheet name="apoio" sheetId="1" r:id="rId2"/>
  </sheets>
  <definedNames>
    <definedName name="aporte">app!$C$9:$C$9</definedName>
    <definedName name="perfil_escolhido">app!$B$16:$B$16</definedName>
    <definedName name="rendimento_carteira">app!$C$5:$C$5</definedName>
    <definedName name="taxa_mensal">app!$C$11:$C$11</definedName>
    <definedName name="tempo_anos">app!$C$10:$C$10</definedName>
    <definedName name="valor_investido">app!$B$17:$B$17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8" i="2" l="1"/>
  <c r="C34" i="2" a="1"/>
  <c r="C33" i="2" a="1"/>
  <c r="C32" i="2" a="1"/>
  <c r="C31" i="2" a="1"/>
  <c r="C30" i="2" a="1"/>
  <c r="B34" i="2" a="1"/>
  <c r="B33" i="2" a="1"/>
  <c r="B32" i="2" a="1"/>
  <c r="B31" i="2" a="1"/>
  <c r="B30" i="2" a="1"/>
  <c r="B20" i="2" a="1"/>
  <c r="B21" i="2" a="1"/>
  <c r="B22" i="2" a="1"/>
  <c r="B23" i="2" a="1"/>
  <c r="B24" i="2" a="1"/>
  <c r="B25" i="2" a="1"/>
  <c r="C12" i="2" a="1"/>
  <c r="C13" i="2" s="1" a="1"/>
  <c r="C6" i="2"/>
  <c r="B17" i="2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B26" i="2" l="1"/>
  <c r="C21" i="2" a="1"/>
  <c r="C22" i="2" a="1"/>
  <c r="C23" i="2" a="1"/>
  <c r="C24" i="2" a="1"/>
  <c r="C25" i="2" a="1"/>
  <c r="C20" i="2" a="1"/>
  <c r="C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<sst xmlns="http://schemas.openxmlformats.org/spreadsheetml/2006/main" count="79" uniqueCount="37">
  <si>
    <t>🪙 FIINVEST🔹INTELIGÊNCIA &amp; ALOCAÇÃO PATRIMONIAL</t>
  </si>
  <si>
    <t>⚙️ CONFIGURAÇÕES OPERACIONAIS</t>
  </si>
  <si>
    <t>Salário</t>
  </si>
  <si>
    <t>➔</t>
  </si>
  <si>
    <t>Rendimento Alvo da Carteira</t>
  </si>
  <si>
    <t>Sugestão de Investimento (30%)</t>
  </si>
  <si>
    <t>📈 SIMULADOR DE PATRIMÔNIO &amp; RENDA RECORRENTE</t>
  </si>
  <si>
    <t>Aporte Mensal Pretendido</t>
  </si>
  <si>
    <t>Horizonte Temporal (Em Anos)</t>
  </si>
  <si>
    <t>Taxa de Rendimento Mensal Estimada</t>
  </si>
  <si>
    <t>Patrimônio Líquido Acumulado</t>
  </si>
  <si>
    <t>Renda Recorrente Mensal (Dividendos)</t>
  </si>
  <si>
    <t>📊 DIRECIONADOR DE ESTRATÉGIA &amp; RISCO</t>
  </si>
  <si>
    <t>Perfil do Investidor (Selecione na Lista)  ➔</t>
  </si>
  <si>
    <t>Moderado</t>
  </si>
  <si>
    <t>VALOR A SER INVESTIDO POR MÊS</t>
  </si>
  <si>
    <t>TIPO DE FII</t>
  </si>
  <si>
    <t>Percentual Sugerido</t>
  </si>
  <si>
    <t>Valores</t>
  </si>
  <si>
    <t>TIJOLO</t>
  </si>
  <si>
    <t>PAPEL</t>
  </si>
  <si>
    <t>HÍBRIDO</t>
  </si>
  <si>
    <t>FOF</t>
  </si>
  <si>
    <t>MULTIESTRATÉGIA</t>
  </si>
  <si>
    <t>DESENVOLVIMENTO</t>
  </si>
  <si>
    <t>TOTAL</t>
  </si>
  <si>
    <t>⏳ SIMULADOR DE CENÁRIOS &amp; RETROVISOR DO FUTURO</t>
  </si>
  <si>
    <t>Anos</t>
  </si>
  <si>
    <t>Projeção Patrimonial</t>
  </si>
  <si>
    <t>Dividendo Mensal Gerado</t>
  </si>
  <si>
    <t>Preço da Cota do FII que você quer calcular ➔</t>
  </si>
  <si>
    <t>Resultado do seu efeito bola de neve ➔</t>
  </si>
  <si>
    <t>CHAVE</t>
  </si>
  <si>
    <t>PERFIL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</si>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</sst>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0&quot; anos&quot;"/>
    <numFmt numFmtId="167" formatCode="&quot;R$&quot;\ #,##0"/>
  </numFmts>
  <fonts count="11">
    <font>
      <sz val="11"/>
      <color theme="1"/>
      <name val="Aptos Narrow"/>
      <family val="2"/>
      <scheme val="minor"/>
    </font>
    <font>
      <sz val="11"/>
      <color theme="1"/>
      <name val="Segoe UI"/>
    </font>
    <font>
      <sz val="11"/>
      <color theme="0"/>
      <name val="Segoe UI"/>
    </font>
    <font>
      <b/>
      <sz val="14"/>
      <color theme="1"/>
      <name val="Segoe UI"/>
    </font>
    <font>
      <b/>
      <sz val="11"/>
      <color theme="3"/>
      <name val="Segoe UI"/>
    </font>
    <font>
      <b/>
      <sz val="14"/>
      <color rgb="FFFAE284"/>
      <name val="Segoe UI"/>
    </font>
    <font>
      <b/>
      <sz val="12"/>
      <color theme="3"/>
      <name val="Segoe UI"/>
    </font>
    <font>
      <sz val="11"/>
      <color rgb="FFFAF7CA"/>
      <name val="Segoe UI"/>
    </font>
    <font>
      <b/>
      <sz val="11"/>
      <color theme="1"/>
      <name val="Segoe UI"/>
    </font>
    <font>
      <sz val="11"/>
      <color rgb="FFFAE284"/>
      <name val="Segoe UI"/>
    </font>
    <font>
      <b/>
      <sz val="11"/>
      <color rgb="FFFAE284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CF6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5F9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1" fillId="3" borderId="2" xfId="0" applyNumberFormat="1" applyFont="1" applyFill="1" applyBorder="1" applyAlignment="1">
      <alignment vertical="center"/>
    </xf>
    <xf numFmtId="164" fontId="1" fillId="4" borderId="0" xfId="0" applyNumberFormat="1" applyFont="1" applyFill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0" fontId="1" fillId="0" borderId="2" xfId="0" applyNumberFormat="1" applyFont="1" applyBorder="1" applyAlignment="1">
      <alignment vertical="center"/>
    </xf>
    <xf numFmtId="8" fontId="1" fillId="4" borderId="0" xfId="0" applyNumberFormat="1" applyFont="1" applyFill="1" applyAlignment="1">
      <alignment vertical="center"/>
    </xf>
    <xf numFmtId="10" fontId="1" fillId="4" borderId="0" xfId="0" applyNumberFormat="1" applyFont="1" applyFill="1" applyAlignment="1">
      <alignment vertical="center"/>
    </xf>
    <xf numFmtId="8" fontId="4" fillId="5" borderId="0" xfId="0" applyNumberFormat="1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8" fillId="0" borderId="2" xfId="0" applyNumberFormat="1" applyFont="1" applyBorder="1" applyAlignment="1">
      <alignment vertical="center"/>
    </xf>
    <xf numFmtId="8" fontId="8" fillId="4" borderId="0" xfId="0" applyNumberFormat="1" applyFont="1" applyFill="1" applyAlignment="1">
      <alignment vertical="center"/>
    </xf>
    <xf numFmtId="164" fontId="8" fillId="4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vertical="center"/>
    </xf>
    <xf numFmtId="10" fontId="1" fillId="3" borderId="0" xfId="0" applyNumberFormat="1" applyFont="1" applyFill="1" applyAlignment="1">
      <alignment vertical="center"/>
    </xf>
    <xf numFmtId="164" fontId="8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0" fillId="6" borderId="0" xfId="0" applyFont="1" applyFill="1" applyAlignment="1">
      <alignment vertical="center"/>
    </xf>
    <xf numFmtId="164" fontId="8" fillId="3" borderId="2" xfId="0" applyNumberFormat="1" applyFont="1" applyFill="1" applyBorder="1" applyAlignment="1">
      <alignment vertical="center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4"/>
    </xf>
    <xf numFmtId="0" fontId="1" fillId="4" borderId="0" xfId="0" applyFont="1" applyFill="1" applyAlignment="1">
      <alignment horizontal="left" vertical="center" indent="5"/>
    </xf>
    <xf numFmtId="0" fontId="2" fillId="2" borderId="0" xfId="0" applyFont="1" applyFill="1" applyAlignment="1">
      <alignment horizontal="left" vertical="center" indent="2"/>
    </xf>
    <xf numFmtId="0" fontId="1" fillId="4" borderId="0" xfId="0" applyFont="1" applyFill="1" applyAlignment="1">
      <alignment horizontal="left" vertical="center" indent="10"/>
    </xf>
    <xf numFmtId="0" fontId="2" fillId="2" borderId="0" xfId="0" applyFont="1" applyFill="1" applyAlignment="1">
      <alignment horizontal="left" vertical="center" indent="10"/>
    </xf>
    <xf numFmtId="0" fontId="2" fillId="2" borderId="0" xfId="0" applyFont="1" applyFill="1" applyAlignment="1">
      <alignment horizontal="center" vertical="center" indent="1"/>
    </xf>
    <xf numFmtId="0" fontId="9" fillId="6" borderId="0" xfId="0" applyFont="1" applyFill="1" applyAlignment="1">
      <alignment horizontal="center" vertical="center" wrapText="1"/>
    </xf>
    <xf numFmtId="167" fontId="10" fillId="6" borderId="0" xfId="0" applyNumberFormat="1" applyFont="1" applyFill="1" applyAlignment="1">
      <alignment horizontal="center" vertical="center" wrapText="1"/>
    </xf>
    <xf numFmtId="0" fontId="0" fillId="0" borderId="2" xfId="0" applyBorder="1"/>
    <xf numFmtId="9" fontId="0" fillId="0" borderId="2" xfId="0" applyNumberFormat="1" applyBorder="1"/>
  </cellXfs>
  <cellStyles count="1">
    <cellStyle name="Normal" xfId="0" builtinId="0"/>
  </cellStyles>
  <dxfs count="2">
    <dxf>
      <font>
        <b/>
        <i val="0"/>
        <color rgb="FFF4A460"/>
      </font>
      <fill>
        <patternFill patternType="solid">
          <bgColor theme="4" tint="-0.499984740745262"/>
        </patternFill>
      </fill>
    </dxf>
    <dxf>
      <font>
        <b/>
        <i val="0"/>
        <color rgb="FFFAE284"/>
      </font>
      <fill>
        <patternFill patternType="solid">
          <bgColor theme="4" tint="-0.499984740745262"/>
        </patternFill>
      </fill>
    </dxf>
  </dxfs>
  <tableStyles count="0" defaultTableStyle="TableStyleMedium2" defaultPivotStyle="PivotStyleMedium9"/>
  <colors>
    <mruColors>
      <color rgb="FFF4A460"/>
      <color rgb="FFFAE284"/>
      <color rgb="FFFAF7CA"/>
      <color rgb="FFFAE391"/>
      <color rgb="FFF5F9FF"/>
      <color rgb="FFDCE6F2"/>
      <color rgb="FFFAE09D"/>
      <color rgb="FFFACF61"/>
      <color rgb="FFF2C34B"/>
      <color rgb="FFDAA5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D9DD-3AC5-4BB5-9D83-DBCE0A89BFC4}">
  <dimension ref="A1:C38"/>
  <sheetViews>
    <sheetView showGridLines="0" tabSelected="1" workbookViewId="0">
      <selection activeCell="C13" sqref="C13"/>
    </sheetView>
  </sheetViews>
  <sheetFormatPr defaultRowHeight="16.5"/>
  <cols>
    <col min="1" max="1" width="42.85546875" style="4" customWidth="1"/>
    <col min="2" max="2" width="43" style="4" customWidth="1"/>
    <col min="3" max="3" width="24.28515625" style="4" customWidth="1"/>
    <col min="4" max="16384" width="9.140625" style="4"/>
  </cols>
  <sheetData>
    <row r="1" spans="1:3" s="3" customFormat="1" ht="20.25">
      <c r="A1" s="14" t="s">
        <v>0</v>
      </c>
      <c r="B1" s="14"/>
      <c r="C1" s="14"/>
    </row>
    <row r="3" spans="1:3">
      <c r="A3" s="31" t="s">
        <v>1</v>
      </c>
      <c r="B3" s="1"/>
      <c r="C3" s="1"/>
    </row>
    <row r="4" spans="1:3">
      <c r="A4" s="30" t="s">
        <v>2</v>
      </c>
      <c r="B4" s="2" t="s">
        <v>3</v>
      </c>
      <c r="C4" s="17">
        <v>2000</v>
      </c>
    </row>
    <row r="5" spans="1:3">
      <c r="A5" s="30" t="s">
        <v>4</v>
      </c>
      <c r="B5" s="2" t="s">
        <v>3</v>
      </c>
      <c r="C5" s="5">
        <v>6.0000000000000001E-3</v>
      </c>
    </row>
    <row r="6" spans="1:3">
      <c r="A6" s="30" t="s">
        <v>5</v>
      </c>
      <c r="B6" s="2" t="s">
        <v>3</v>
      </c>
      <c r="C6" s="6">
        <f>C$4*30%</f>
        <v>600</v>
      </c>
    </row>
    <row r="7" spans="1:3" s="20" customFormat="1">
      <c r="B7" s="21"/>
      <c r="C7" s="22"/>
    </row>
    <row r="8" spans="1:3">
      <c r="A8" s="13" t="s">
        <v>6</v>
      </c>
      <c r="B8" s="13"/>
      <c r="C8" s="13"/>
    </row>
    <row r="9" spans="1:3">
      <c r="A9" s="29" t="s">
        <v>7</v>
      </c>
      <c r="B9" s="2" t="s">
        <v>3</v>
      </c>
      <c r="C9" s="7">
        <v>300</v>
      </c>
    </row>
    <row r="10" spans="1:3">
      <c r="A10" s="29" t="s">
        <v>8</v>
      </c>
      <c r="B10" s="2" t="s">
        <v>3</v>
      </c>
      <c r="C10" s="8">
        <v>3</v>
      </c>
    </row>
    <row r="11" spans="1:3">
      <c r="A11" s="29" t="s">
        <v>9</v>
      </c>
      <c r="B11" s="2" t="s">
        <v>3</v>
      </c>
      <c r="C11" s="9">
        <v>1.0800000000000001E-2</v>
      </c>
    </row>
    <row r="12" spans="1:3">
      <c r="A12" s="29" t="s">
        <v>10</v>
      </c>
      <c r="B12" s="2" t="s">
        <v>3</v>
      </c>
      <c r="C12" s="18" cm="1">
        <f t="array" ref="C12">FV(taxa_mensal, C10*12, aporte*-1)</f>
        <v>13114.932554316461</v>
      </c>
    </row>
    <row r="13" spans="1:3">
      <c r="A13" s="29" t="s">
        <v>11</v>
      </c>
      <c r="B13" s="2" t="s">
        <v>3</v>
      </c>
      <c r="C13" s="12" cm="1">
        <f t="array" ref="C13">C12*rendimento_carteira</f>
        <v>78.689595325898765</v>
      </c>
    </row>
    <row r="15" spans="1:3">
      <c r="A15" s="13" t="s">
        <v>12</v>
      </c>
      <c r="B15" s="13"/>
    </row>
    <row r="16" spans="1:3" ht="17.25">
      <c r="A16" s="16" t="s">
        <v>13</v>
      </c>
      <c r="B16" s="15" t="s">
        <v>14</v>
      </c>
    </row>
    <row r="17" spans="1:3">
      <c r="A17" s="28" t="s">
        <v>15</v>
      </c>
      <c r="B17" s="6">
        <f>C9</f>
        <v>300</v>
      </c>
    </row>
    <row r="19" spans="1:3">
      <c r="A19" s="33" t="s">
        <v>16</v>
      </c>
      <c r="B19" s="1" t="s">
        <v>17</v>
      </c>
      <c r="C19" s="1" t="s">
        <v>18</v>
      </c>
    </row>
    <row r="20" spans="1:3">
      <c r="A20" s="32" t="s">
        <v>19</v>
      </c>
      <c r="B20" s="11" cm="1">
        <f t="array" ref="B20">VLOOKUP(perfil_escolhido &amp; "-" &amp; A20, apoio!$A:$D, 4, FALSE)</f>
        <v>0.3</v>
      </c>
      <c r="C20" s="6" cm="1">
        <f t="array" ref="C20">B20 * valor_investido</f>
        <v>90</v>
      </c>
    </row>
    <row r="21" spans="1:3">
      <c r="A21" s="32" t="s">
        <v>20</v>
      </c>
      <c r="B21" s="11" cm="1">
        <f t="array" ref="B21">VLOOKUP(perfil_escolhido &amp; "-" &amp; A21, apoio!$A:$D, 4, FALSE)</f>
        <v>0.3</v>
      </c>
      <c r="C21" s="6" cm="1">
        <f t="array" ref="C21">B21 * valor_investido</f>
        <v>90</v>
      </c>
    </row>
    <row r="22" spans="1:3">
      <c r="A22" s="32" t="s">
        <v>21</v>
      </c>
      <c r="B22" s="11" cm="1">
        <f t="array" ref="B22">VLOOKUP(perfil_escolhido &amp; "-" &amp; A22, apoio!$A:$D, 4, FALSE)</f>
        <v>0.08</v>
      </c>
      <c r="C22" s="6" cm="1">
        <f t="array" ref="C22">B22 * valor_investido</f>
        <v>24</v>
      </c>
    </row>
    <row r="23" spans="1:3">
      <c r="A23" s="32" t="s">
        <v>22</v>
      </c>
      <c r="B23" s="11" cm="1">
        <f t="array" ref="B23">VLOOKUP(perfil_escolhido &amp; "-" &amp; A23, apoio!$A:$D, 4, FALSE)</f>
        <v>0.08</v>
      </c>
      <c r="C23" s="6" cm="1">
        <f t="array" ref="C23">B23 * valor_investido</f>
        <v>24</v>
      </c>
    </row>
    <row r="24" spans="1:3">
      <c r="A24" s="32" t="s">
        <v>23</v>
      </c>
      <c r="B24" s="11" cm="1">
        <f t="array" ref="B24">VLOOKUP(perfil_escolhido &amp; "-" &amp; A24, apoio!$A:$D, 4, FALSE)</f>
        <v>0.19</v>
      </c>
      <c r="C24" s="6" cm="1">
        <f t="array" ref="C24">B24 * valor_investido</f>
        <v>57</v>
      </c>
    </row>
    <row r="25" spans="1:3">
      <c r="A25" s="32" t="s">
        <v>24</v>
      </c>
      <c r="B25" s="11" cm="1">
        <f t="array" ref="B25">VLOOKUP(perfil_escolhido &amp; "-" &amp; A25, apoio!$A:$D, 4, FALSE)</f>
        <v>0.05</v>
      </c>
      <c r="C25" s="6" cm="1">
        <f t="array" ref="C25">B25 * valor_investido</f>
        <v>15</v>
      </c>
    </row>
    <row r="26" spans="1:3">
      <c r="A26" s="32" t="s">
        <v>25</v>
      </c>
      <c r="B26" s="11">
        <f>SUM(B$20:B$25)</f>
        <v>1</v>
      </c>
      <c r="C26" s="19">
        <f>SUM(C$20:C$25)</f>
        <v>300</v>
      </c>
    </row>
    <row r="27" spans="1:3" s="20" customFormat="1">
      <c r="B27" s="23"/>
      <c r="C27" s="24"/>
    </row>
    <row r="28" spans="1:3">
      <c r="A28" s="13" t="s">
        <v>26</v>
      </c>
      <c r="B28" s="13"/>
      <c r="C28" s="13"/>
    </row>
    <row r="29" spans="1:3">
      <c r="A29" s="34" t="s">
        <v>27</v>
      </c>
      <c r="B29" s="1" t="s">
        <v>28</v>
      </c>
      <c r="C29" s="1" t="s">
        <v>29</v>
      </c>
    </row>
    <row r="30" spans="1:3">
      <c r="A30" s="2">
        <v>2</v>
      </c>
      <c r="B30" s="10" cm="1">
        <f t="array" ref="B30">FV(taxa_mensal, A$30*12, aporte*-1)</f>
        <v>8169.259098174477</v>
      </c>
      <c r="C30" s="10" cm="1">
        <f t="array" ref="C30">B$30 * rendimento_carteira</f>
        <v>49.015554589046864</v>
      </c>
    </row>
    <row r="31" spans="1:3">
      <c r="A31" s="2">
        <v>5</v>
      </c>
      <c r="B31" s="10" cm="1">
        <f t="array" ref="B31">FV(taxa_mensal, A$31*12, aporte*-1)</f>
        <v>25141.205807777529</v>
      </c>
      <c r="C31" s="10" cm="1">
        <f t="array" ref="C31">B$31 * rendimento_carteira</f>
        <v>150.84723484666517</v>
      </c>
    </row>
    <row r="32" spans="1:3">
      <c r="A32" s="2">
        <v>10</v>
      </c>
      <c r="B32" s="10" cm="1">
        <f t="array" ref="B32">FV(taxa_mensal, A$32*12, aporte*-1)</f>
        <v>73037.299876440025</v>
      </c>
      <c r="C32" s="10" cm="1">
        <f t="array" ref="C32">B$32 * rendimento_carteira</f>
        <v>438.22379925864016</v>
      </c>
    </row>
    <row r="33" spans="1:3">
      <c r="A33" s="2">
        <v>20</v>
      </c>
      <c r="B33" s="10" cm="1">
        <f t="array" ref="B33">FV(taxa_mensal, A$33*12, aporte*-1)</f>
        <v>338114.697989557</v>
      </c>
      <c r="C33" s="10" cm="1">
        <f t="array" ref="C33">B$33 * rendimento_carteira</f>
        <v>2028.688187937342</v>
      </c>
    </row>
    <row r="34" spans="1:3">
      <c r="A34" s="2">
        <v>30</v>
      </c>
      <c r="B34" s="10" cm="1">
        <f t="array" ref="B34">FV(taxa_mensal, A$34*12, aporte*-1)</f>
        <v>1300171.4430950254</v>
      </c>
      <c r="C34" s="10" cm="1">
        <f t="array" ref="C34">B$34 * rendimento_carteira</f>
        <v>7801.0286585701524</v>
      </c>
    </row>
    <row r="36" spans="1:3">
      <c r="A36" s="2" t="s">
        <v>30</v>
      </c>
      <c r="B36" s="27">
        <v>10</v>
      </c>
    </row>
    <row r="37" spans="1:3">
      <c r="B37" s="25"/>
    </row>
    <row r="38" spans="1:3" ht="71.25" customHeight="1">
      <c r="A38" s="35" t="s">
        <v>31</v>
      </c>
      <c r="B38" s="36" t="str">
        <f>IF(C13&gt;=B36,"🎉 PARABÉNS! O seu ganho mensal já compra + " &amp; INT(C13/B36) &amp; " cotas sem mexer no seu salário.","⏳ QUASE LÁ! Ainda faltam R$ " &amp; ROUND(B36-C13,2) &amp; ". Continue assim! Logo o seu ganho mensal cobrirá o preço de uma cota.")</f>
        <v>🎉 PARABÉNS! O seu ganho mensal já compra + 7 cotas sem mexer no seu salário.</v>
      </c>
      <c r="C38" s="26"/>
    </row>
  </sheetData>
  <sheetProtection sheet="1" objects="1" scenarios="1"/>
  <protectedRanges>
    <protectedRange sqref="C4" name="Range1"/>
    <protectedRange sqref="C5" name="Range2"/>
    <protectedRange sqref="C9" name="Range3"/>
    <protectedRange sqref="C10" name="Range4"/>
    <protectedRange sqref="C11" name="Range5"/>
    <protectedRange sqref="B16" name="Range6"/>
    <protectedRange sqref="B36" name="Range7"/>
  </protectedRanges>
  <mergeCells count="4">
    <mergeCell ref="A1:C1"/>
    <mergeCell ref="A8:C8"/>
    <mergeCell ref="A15:B15"/>
    <mergeCell ref="A28:C28"/>
  </mergeCells>
  <conditionalFormatting sqref="B38">
    <cfRule type="containsText" dxfId="1" priority="2" operator="containsText" text="PARABÉNS">
      <formula>NOT(ISERROR(SEARCH("PARABÉNS",B38)))</formula>
    </cfRule>
  </conditionalFormatting>
  <conditionalFormatting sqref="B38">
    <cfRule type="containsText" dxfId="0" priority="1" operator="containsText" text="QUASE LÁ">
      <formula>NOT(ISERROR(SEARCH("QUASE LÁ",B38)))</formula>
    </cfRule>
  </conditionalFormatting>
  <dataValidations count="1">
    <dataValidation type="list" allowBlank="1" showInputMessage="1" showErrorMessage="1" sqref="B16" xr:uid="{34173777-6886-413C-928C-B7A36409D937}">
      <formula1>"Conservador,Moderado,Agressivo"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workbookViewId="0">
      <selection activeCell="B24" sqref="B24"/>
    </sheetView>
  </sheetViews>
  <sheetFormatPr defaultRowHeight="15"/>
  <cols>
    <col min="1" max="1" width="31.140625" bestFit="1" customWidth="1"/>
    <col min="2" max="2" width="12.140625" bestFit="1" customWidth="1"/>
    <col min="3" max="3" width="19" bestFit="1" customWidth="1"/>
    <col min="4" max="4" width="5" bestFit="1" customWidth="1"/>
  </cols>
  <sheetData>
    <row r="1" spans="1:4">
      <c r="A1" s="37" t="s">
        <v>32</v>
      </c>
      <c r="B1" s="37" t="s">
        <v>33</v>
      </c>
      <c r="C1" s="37" t="s">
        <v>16</v>
      </c>
      <c r="D1" s="37" t="s">
        <v>34</v>
      </c>
    </row>
    <row r="2" spans="1:4">
      <c r="A2" s="37" t="str">
        <f>B2&amp;"-"&amp;C2</f>
        <v>Conservador-TIJOLO</v>
      </c>
      <c r="B2" s="37" t="s">
        <v>35</v>
      </c>
      <c r="C2" s="37" t="s">
        <v>19</v>
      </c>
      <c r="D2" s="38">
        <v>0.5</v>
      </c>
    </row>
    <row r="3" spans="1:4">
      <c r="A3" s="37" t="str">
        <f>B3&amp;"-"&amp;C3</f>
        <v>Conservador-PAPEL</v>
      </c>
      <c r="B3" s="37" t="s">
        <v>35</v>
      </c>
      <c r="C3" s="37" t="s">
        <v>20</v>
      </c>
      <c r="D3" s="38">
        <v>0.25</v>
      </c>
    </row>
    <row r="4" spans="1:4">
      <c r="A4" s="37" t="str">
        <f>B4&amp;"-"&amp;C4</f>
        <v>Conservador-HÍBRIDO</v>
      </c>
      <c r="B4" s="37" t="s">
        <v>35</v>
      </c>
      <c r="C4" s="37" t="s">
        <v>21</v>
      </c>
      <c r="D4" s="38">
        <v>0.05</v>
      </c>
    </row>
    <row r="5" spans="1:4">
      <c r="A5" s="37" t="str">
        <f>B5&amp;"-"&amp;C5</f>
        <v>Conservador-FOF</v>
      </c>
      <c r="B5" s="37" t="s">
        <v>35</v>
      </c>
      <c r="C5" s="37" t="s">
        <v>22</v>
      </c>
      <c r="D5" s="38">
        <v>7.0000000000000007E-2</v>
      </c>
    </row>
    <row r="6" spans="1:4">
      <c r="A6" s="37" t="str">
        <f>B6&amp;"-"&amp;C6</f>
        <v>Conservador-MULTIESTRATÉGIA</v>
      </c>
      <c r="B6" s="37" t="s">
        <v>35</v>
      </c>
      <c r="C6" s="37" t="s">
        <v>23</v>
      </c>
      <c r="D6" s="38">
        <v>0.13</v>
      </c>
    </row>
    <row r="7" spans="1:4">
      <c r="A7" s="37" t="str">
        <f>B7&amp;"-"&amp;C7</f>
        <v>Conservador-DESENVOLVIMENTO</v>
      </c>
      <c r="B7" s="37" t="s">
        <v>35</v>
      </c>
      <c r="C7" s="37" t="s">
        <v>24</v>
      </c>
      <c r="D7" s="38">
        <v>0</v>
      </c>
    </row>
    <row r="8" spans="1:4">
      <c r="A8" s="37" t="str">
        <f>B8&amp;"-"&amp;C8</f>
        <v>Moderado-TIJOLO</v>
      </c>
      <c r="B8" s="37" t="s">
        <v>14</v>
      </c>
      <c r="C8" s="37" t="s">
        <v>19</v>
      </c>
      <c r="D8" s="38">
        <v>0.3</v>
      </c>
    </row>
    <row r="9" spans="1:4">
      <c r="A9" s="37" t="str">
        <f>B9&amp;"-"&amp;C9</f>
        <v>Moderado-PAPEL</v>
      </c>
      <c r="B9" s="37" t="s">
        <v>14</v>
      </c>
      <c r="C9" s="37" t="s">
        <v>20</v>
      </c>
      <c r="D9" s="38">
        <v>0.3</v>
      </c>
    </row>
    <row r="10" spans="1:4">
      <c r="A10" s="37" t="str">
        <f>B10&amp;"-"&amp;C10</f>
        <v>Moderado-HÍBRIDO</v>
      </c>
      <c r="B10" s="37" t="s">
        <v>14</v>
      </c>
      <c r="C10" s="37" t="s">
        <v>21</v>
      </c>
      <c r="D10" s="38">
        <v>0.08</v>
      </c>
    </row>
    <row r="11" spans="1:4">
      <c r="A11" s="37" t="str">
        <f>B11&amp;"-"&amp;C11</f>
        <v>Moderado-FOF</v>
      </c>
      <c r="B11" s="37" t="s">
        <v>14</v>
      </c>
      <c r="C11" s="37" t="s">
        <v>22</v>
      </c>
      <c r="D11" s="38">
        <v>0.08</v>
      </c>
    </row>
    <row r="12" spans="1:4">
      <c r="A12" s="37" t="str">
        <f>B12&amp;"-"&amp;C12</f>
        <v>Moderado-MULTIESTRATÉGIA</v>
      </c>
      <c r="B12" s="37" t="s">
        <v>14</v>
      </c>
      <c r="C12" s="37" t="s">
        <v>23</v>
      </c>
      <c r="D12" s="38">
        <v>0.19</v>
      </c>
    </row>
    <row r="13" spans="1:4">
      <c r="A13" s="37" t="str">
        <f>B13&amp;"-"&amp;C13</f>
        <v>Moderado-DESENVOLVIMENTO</v>
      </c>
      <c r="B13" s="37" t="s">
        <v>14</v>
      </c>
      <c r="C13" s="37" t="s">
        <v>24</v>
      </c>
      <c r="D13" s="38">
        <v>0.05</v>
      </c>
    </row>
    <row r="14" spans="1:4">
      <c r="A14" s="37" t="str">
        <f>B14&amp;"-"&amp;C14</f>
        <v>Agressivo-TIJOLO</v>
      </c>
      <c r="B14" s="37" t="s">
        <v>36</v>
      </c>
      <c r="C14" s="37" t="s">
        <v>19</v>
      </c>
      <c r="D14" s="38">
        <v>0.1</v>
      </c>
    </row>
    <row r="15" spans="1:4">
      <c r="A15" s="37" t="str">
        <f>B15&amp;"-"&amp;C15</f>
        <v>Agressivo-PAPEL</v>
      </c>
      <c r="B15" s="37" t="s">
        <v>36</v>
      </c>
      <c r="C15" s="37" t="s">
        <v>20</v>
      </c>
      <c r="D15" s="38">
        <v>0.4</v>
      </c>
    </row>
    <row r="16" spans="1:4">
      <c r="A16" s="37" t="str">
        <f>B16&amp;"-"&amp;C16</f>
        <v>Agressivo-HÍBRIDO</v>
      </c>
      <c r="B16" s="37" t="s">
        <v>36</v>
      </c>
      <c r="C16" s="37" t="s">
        <v>21</v>
      </c>
      <c r="D16" s="38">
        <v>0.08</v>
      </c>
    </row>
    <row r="17" spans="1:4">
      <c r="A17" s="37" t="str">
        <f>B17&amp;"-"&amp;C17</f>
        <v>Agressivo-FOF</v>
      </c>
      <c r="B17" s="37" t="s">
        <v>36</v>
      </c>
      <c r="C17" s="37" t="s">
        <v>22</v>
      </c>
      <c r="D17" s="38">
        <v>0.05</v>
      </c>
    </row>
    <row r="18" spans="1:4">
      <c r="A18" s="37" t="str">
        <f>B18&amp;"-"&amp;C18</f>
        <v>Agressivo-MULTIESTRATÉGIA</v>
      </c>
      <c r="B18" s="37" t="s">
        <v>36</v>
      </c>
      <c r="C18" s="37" t="s">
        <v>23</v>
      </c>
      <c r="D18" s="38">
        <v>0.27</v>
      </c>
    </row>
    <row r="19" spans="1:4">
      <c r="A19" s="37" t="str">
        <f>B19&amp;"-"&amp;C19</f>
        <v>Agressivo-DESENVOLVIMENTO</v>
      </c>
      <c r="B19" s="37" t="s">
        <v>36</v>
      </c>
      <c r="C19" s="37" t="s">
        <v>24</v>
      </c>
      <c r="D19" s="38">
        <v>0.1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2026-10-17T20:03:16Z</dcterms:created>
  <dcterms:modified xsi:type="dcterms:W3CDTF">2026-10-18T01:41:47Z</dcterms:modified>
  <cp:category/>
  <cp:contentStatus/>
</cp:coreProperties>
</file>